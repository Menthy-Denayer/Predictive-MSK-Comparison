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medenaye\Documents\programs\GitHub\Predictive-MSK-Comparison\"/>
    </mc:Choice>
  </mc:AlternateContent>
  <xr:revisionPtr revIDLastSave="0" documentId="13_ncr:1_{7665495D-BA67-4A33-AA7D-C083A4224C0F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overview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42" i="1" l="1"/>
  <c r="X43" i="1"/>
  <c r="X44" i="1"/>
  <c r="X40" i="1"/>
  <c r="W41" i="1"/>
  <c r="X41" i="1" s="1"/>
  <c r="W42" i="1"/>
  <c r="W43" i="1"/>
  <c r="W44" i="1"/>
  <c r="W40" i="1"/>
  <c r="AJ28" i="1"/>
  <c r="AJ27" i="1"/>
  <c r="AJ26" i="1"/>
  <c r="AJ25" i="1"/>
  <c r="AJ24" i="1"/>
  <c r="AJ18" i="1"/>
  <c r="AJ17" i="1"/>
  <c r="AJ16" i="1"/>
  <c r="AJ15" i="1"/>
  <c r="AJ14" i="1"/>
  <c r="AJ9" i="1"/>
  <c r="AJ8" i="1"/>
  <c r="AJ7" i="1"/>
  <c r="AJ6" i="1"/>
  <c r="AJ5" i="1"/>
  <c r="X27" i="1"/>
  <c r="AI27" i="1"/>
  <c r="AF27" i="1"/>
  <c r="AC27" i="1"/>
  <c r="AF17" i="1"/>
  <c r="AC17" i="1"/>
  <c r="AI8" i="1"/>
  <c r="AF8" i="1"/>
  <c r="AC8" i="1"/>
  <c r="T43" i="1"/>
  <c r="Q43" i="1"/>
  <c r="Q44" i="1"/>
  <c r="Q37" i="1"/>
  <c r="T37" i="1"/>
  <c r="W37" i="1"/>
  <c r="W27" i="1"/>
  <c r="T27" i="1"/>
  <c r="Q27" i="1"/>
  <c r="T17" i="1"/>
  <c r="Q17" i="1"/>
  <c r="X17" i="1" s="1"/>
  <c r="K27" i="1"/>
  <c r="H27" i="1"/>
  <c r="E27" i="1"/>
  <c r="E17" i="1"/>
  <c r="H17" i="1"/>
  <c r="K8" i="1"/>
  <c r="H8" i="1"/>
  <c r="E8" i="1"/>
  <c r="W8" i="1"/>
  <c r="X8" i="1" s="1"/>
  <c r="T8" i="1"/>
  <c r="Q8" i="1"/>
  <c r="T44" i="1"/>
  <c r="T42" i="1"/>
  <c r="T41" i="1"/>
  <c r="T40" i="1"/>
  <c r="Q42" i="1"/>
  <c r="Q41" i="1"/>
  <c r="Q40" i="1"/>
  <c r="W38" i="1"/>
  <c r="T38" i="1"/>
  <c r="Q38" i="1"/>
  <c r="W36" i="1"/>
  <c r="T36" i="1"/>
  <c r="Q36" i="1"/>
  <c r="W35" i="1"/>
  <c r="T35" i="1"/>
  <c r="Q35" i="1"/>
  <c r="W34" i="1"/>
  <c r="T34" i="1"/>
  <c r="Q34" i="1"/>
  <c r="AI28" i="1"/>
  <c r="AI26" i="1"/>
  <c r="AI25" i="1"/>
  <c r="AI24" i="1"/>
  <c r="AF28" i="1"/>
  <c r="AF26" i="1"/>
  <c r="AF25" i="1"/>
  <c r="AF24" i="1"/>
  <c r="AC28" i="1"/>
  <c r="AC26" i="1"/>
  <c r="AC25" i="1"/>
  <c r="AC24" i="1"/>
  <c r="AF18" i="1"/>
  <c r="AF16" i="1"/>
  <c r="AF15" i="1"/>
  <c r="AF14" i="1"/>
  <c r="AC18" i="1"/>
  <c r="AC16" i="1"/>
  <c r="AC15" i="1"/>
  <c r="AC14" i="1"/>
  <c r="AI9" i="1"/>
  <c r="AI7" i="1"/>
  <c r="AI6" i="1"/>
  <c r="AI5" i="1"/>
  <c r="AF9" i="1"/>
  <c r="AF7" i="1"/>
  <c r="AF6" i="1"/>
  <c r="AF5" i="1"/>
  <c r="AC9" i="1"/>
  <c r="AC7" i="1"/>
  <c r="AC6" i="1"/>
  <c r="AC5" i="1"/>
  <c r="W28" i="1"/>
  <c r="W26" i="1"/>
  <c r="W25" i="1"/>
  <c r="W24" i="1"/>
  <c r="T28" i="1"/>
  <c r="X28" i="1" s="1"/>
  <c r="T26" i="1"/>
  <c r="X26" i="1" s="1"/>
  <c r="T25" i="1"/>
  <c r="T24" i="1"/>
  <c r="Q28" i="1"/>
  <c r="Q26" i="1"/>
  <c r="Q25" i="1"/>
  <c r="X25" i="1" s="1"/>
  <c r="Q24" i="1"/>
  <c r="X24" i="1" s="1"/>
  <c r="Q18" i="1"/>
  <c r="X18" i="1" s="1"/>
  <c r="Q16" i="1"/>
  <c r="X16" i="1" s="1"/>
  <c r="Q15" i="1"/>
  <c r="Q14" i="1"/>
  <c r="T18" i="1"/>
  <c r="T16" i="1"/>
  <c r="T15" i="1"/>
  <c r="X15" i="1" s="1"/>
  <c r="T14" i="1"/>
  <c r="X14" i="1" s="1"/>
  <c r="W9" i="1"/>
  <c r="W7" i="1"/>
  <c r="W6" i="1"/>
  <c r="W5" i="1"/>
  <c r="X5" i="1" s="1"/>
  <c r="T9" i="1"/>
  <c r="X9" i="1" s="1"/>
  <c r="T7" i="1"/>
  <c r="X7" i="1" s="1"/>
  <c r="T6" i="1"/>
  <c r="X6" i="1" s="1"/>
  <c r="T5" i="1"/>
  <c r="Q9" i="1"/>
  <c r="Q7" i="1"/>
  <c r="Q6" i="1"/>
  <c r="Q5" i="1"/>
  <c r="K28" i="1"/>
  <c r="K26" i="1"/>
  <c r="K25" i="1"/>
  <c r="K24" i="1"/>
  <c r="H28" i="1"/>
  <c r="H26" i="1"/>
  <c r="H25" i="1"/>
  <c r="H24" i="1"/>
  <c r="H18" i="1"/>
  <c r="H16" i="1"/>
  <c r="H15" i="1"/>
  <c r="H14" i="1"/>
  <c r="K9" i="1"/>
  <c r="K7" i="1"/>
  <c r="K6" i="1"/>
  <c r="K5" i="1"/>
  <c r="H9" i="1"/>
  <c r="H7" i="1"/>
  <c r="H6" i="1"/>
  <c r="H5" i="1"/>
  <c r="E28" i="1"/>
  <c r="E26" i="1"/>
  <c r="E25" i="1"/>
  <c r="E24" i="1"/>
  <c r="E18" i="1"/>
  <c r="E16" i="1"/>
  <c r="E15" i="1"/>
  <c r="E14" i="1"/>
  <c r="E6" i="1"/>
  <c r="L6" i="1" s="1"/>
  <c r="E7" i="1"/>
  <c r="L7" i="1" s="1"/>
  <c r="E9" i="1"/>
  <c r="E5" i="1"/>
  <c r="L14" i="1" l="1"/>
  <c r="L27" i="1"/>
  <c r="L16" i="1"/>
  <c r="L18" i="1"/>
  <c r="L24" i="1"/>
  <c r="L25" i="1"/>
  <c r="L17" i="1"/>
  <c r="L28" i="1"/>
  <c r="L9" i="1"/>
  <c r="L15" i="1"/>
  <c r="L26" i="1"/>
  <c r="L5" i="1"/>
  <c r="L8" i="1"/>
</calcChain>
</file>

<file path=xl/sharedStrings.xml><?xml version="1.0" encoding="utf-8"?>
<sst xmlns="http://schemas.openxmlformats.org/spreadsheetml/2006/main" count="183" uniqueCount="48">
  <si>
    <t>method</t>
  </si>
  <si>
    <t>MR</t>
  </si>
  <si>
    <t>CPG</t>
  </si>
  <si>
    <t>OC</t>
  </si>
  <si>
    <t>DRL</t>
  </si>
  <si>
    <t>kinematics</t>
  </si>
  <si>
    <t>kinetics</t>
  </si>
  <si>
    <t>RMSE (°)</t>
  </si>
  <si>
    <t>Pearson Correlation Coefficient (-)</t>
  </si>
  <si>
    <t>Match (%)</t>
  </si>
  <si>
    <t>hipR</t>
  </si>
  <si>
    <t>hipL</t>
  </si>
  <si>
    <t>kneeR</t>
  </si>
  <si>
    <t>kneeL</t>
  </si>
  <si>
    <t>ankleR</t>
  </si>
  <si>
    <t>ankleL</t>
  </si>
  <si>
    <t>GRFxR</t>
  </si>
  <si>
    <t>GRFxL</t>
  </si>
  <si>
    <t>GRFyR</t>
  </si>
  <si>
    <t>GRFyL</t>
  </si>
  <si>
    <t>hip (avg)</t>
  </si>
  <si>
    <t>knee (avg)</t>
  </si>
  <si>
    <t>ankle (avg)</t>
  </si>
  <si>
    <t>GRFx (avg)</t>
  </si>
  <si>
    <t>GRFy (avg)</t>
  </si>
  <si>
    <t>muscles</t>
  </si>
  <si>
    <t>hamR</t>
  </si>
  <si>
    <t>hamL</t>
  </si>
  <si>
    <t>ham (avg)</t>
  </si>
  <si>
    <t>gastrocR</t>
  </si>
  <si>
    <t>gastrocL</t>
  </si>
  <si>
    <t>gastroc (avg)</t>
  </si>
  <si>
    <t>tibantR</t>
  </si>
  <si>
    <t>tibantL</t>
  </si>
  <si>
    <t>tibant (avg)</t>
  </si>
  <si>
    <t>vastiR</t>
  </si>
  <si>
    <t>vastiL</t>
  </si>
  <si>
    <t>vasti (avg)</t>
  </si>
  <si>
    <t>rectfemR</t>
  </si>
  <si>
    <t>rectfemL</t>
  </si>
  <si>
    <t>rectfem (avg)</t>
  </si>
  <si>
    <t>DRL (H0918v3)</t>
  </si>
  <si>
    <t>total avg</t>
  </si>
  <si>
    <t>RMSE (N/kg)</t>
  </si>
  <si>
    <t>RMSE (Nm/kg)</t>
  </si>
  <si>
    <t>bicfemR</t>
  </si>
  <si>
    <t>bicfemL</t>
  </si>
  <si>
    <t>bicfem (avg)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</si>
</sst>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9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0" xfId="0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2" fontId="0" fillId="2" borderId="0" xfId="0" applyNumberFormat="1" applyFill="1" applyAlignment="1">
      <alignment horizontal="center"/>
    </xf>
    <xf numFmtId="2" fontId="0" fillId="2" borderId="10" xfId="0" applyNumberForma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2" fontId="0" fillId="2" borderId="8" xfId="0" applyNumberFormat="1" applyFill="1" applyBorder="1" applyAlignment="1">
      <alignment horizontal="center"/>
    </xf>
    <xf numFmtId="2" fontId="0" fillId="2" borderId="11" xfId="0" applyNumberForma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2" fontId="2" fillId="2" borderId="8" xfId="0" applyNumberFormat="1" applyFont="1" applyFill="1" applyBorder="1" applyAlignment="1">
      <alignment horizontal="center"/>
    </xf>
    <xf numFmtId="2" fontId="2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1" fillId="0" borderId="13" xfId="0" applyFon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0" borderId="12" xfId="0" applyFon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2" fillId="0" borderId="13" xfId="0" applyNumberFormat="1" applyFont="1" applyBorder="1" applyAlignment="1">
      <alignment horizontal="center"/>
    </xf>
    <xf numFmtId="2" fontId="3" fillId="0" borderId="13" xfId="0" applyNumberFormat="1" applyFont="1" applyBorder="1" applyAlignment="1">
      <alignment horizontal="center"/>
    </xf>
    <xf numFmtId="2" fontId="2" fillId="0" borderId="14" xfId="0" applyNumberFormat="1" applyFont="1" applyBorder="1" applyAlignment="1">
      <alignment horizontal="center"/>
    </xf>
    <xf numFmtId="2" fontId="2" fillId="0" borderId="8" xfId="0" applyNumberFormat="1" applyFont="1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1" xfId="0" applyNumberFormat="1" applyBorder="1" applyAlignment="1">
      <alignment horizontal="center"/>
    </xf>
    <xf numFmtId="2" fontId="2" fillId="2" borderId="10" xfId="0" applyNumberFormat="1" applyFont="1" applyFill="1" applyBorder="1" applyAlignment="1">
      <alignment horizontal="center"/>
    </xf>
    <xf numFmtId="2" fontId="2" fillId="2" borderId="11" xfId="0" applyNumberFormat="1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AJ44"/>
  <sheetViews>
    <sheetView showGridLines="0" tabSelected="1" topLeftCell="B23" zoomScale="59" zoomScaleNormal="85" workbookViewId="0">
      <selection activeCell="F8" sqref="F8"/>
    </sheetView>
  </sheetViews>
  <sheetFormatPr defaultRowHeight="14.25" x14ac:dyDescent="0.45"/>
  <cols>
    <col min="2" max="2" width="12.9296875" bestFit="1" customWidth="1"/>
    <col min="3" max="4" width="9.06640625" bestFit="1" customWidth="1"/>
    <col min="5" max="5" width="9.796875" customWidth="1"/>
    <col min="6" max="7" width="9.06640625" bestFit="1" customWidth="1"/>
    <col min="8" max="8" width="10.19921875" customWidth="1"/>
    <col min="9" max="10" width="9.06640625" bestFit="1" customWidth="1"/>
    <col min="11" max="12" width="10.53125" customWidth="1"/>
    <col min="14" max="14" width="12.9296875" bestFit="1" customWidth="1"/>
    <col min="17" max="17" width="9.265625" customWidth="1"/>
    <col min="20" max="20" width="12.265625" customWidth="1"/>
    <col min="23" max="23" width="11.86328125" customWidth="1"/>
    <col min="24" max="24" width="10.53125" customWidth="1"/>
    <col min="26" max="26" width="12.9296875" bestFit="1" customWidth="1"/>
    <col min="29" max="29" width="9.3984375" customWidth="1"/>
    <col min="35" max="35" width="11" customWidth="1"/>
    <col min="36" max="36" width="10.53125" customWidth="1"/>
  </cols>
  <sheetData>
    <row r="2" spans="2:36" ht="15.75" x14ac:dyDescent="0.5">
      <c r="B2" s="45" t="s">
        <v>7</v>
      </c>
      <c r="C2" s="46"/>
      <c r="D2" s="46"/>
      <c r="E2" s="46"/>
      <c r="F2" s="46"/>
      <c r="G2" s="46"/>
      <c r="H2" s="46"/>
      <c r="I2" s="46"/>
      <c r="J2" s="46"/>
      <c r="K2" s="46"/>
      <c r="L2" s="47"/>
      <c r="M2" s="1"/>
      <c r="N2" s="39" t="s">
        <v>8</v>
      </c>
      <c r="O2" s="40"/>
      <c r="P2" s="40"/>
      <c r="Q2" s="40"/>
      <c r="R2" s="40"/>
      <c r="S2" s="40"/>
      <c r="T2" s="40"/>
      <c r="U2" s="40"/>
      <c r="V2" s="40"/>
      <c r="W2" s="40"/>
      <c r="X2" s="41"/>
      <c r="Y2" s="1"/>
      <c r="Z2" s="39" t="s">
        <v>9</v>
      </c>
      <c r="AA2" s="40"/>
      <c r="AB2" s="40"/>
      <c r="AC2" s="40"/>
      <c r="AD2" s="40"/>
      <c r="AE2" s="40"/>
      <c r="AF2" s="40"/>
      <c r="AG2" s="40"/>
      <c r="AH2" s="40"/>
      <c r="AI2" s="40"/>
      <c r="AJ2" s="41"/>
    </row>
    <row r="3" spans="2:36" x14ac:dyDescent="0.45">
      <c r="B3" s="42" t="s">
        <v>5</v>
      </c>
      <c r="C3" s="43"/>
      <c r="D3" s="43"/>
      <c r="E3" s="43"/>
      <c r="F3" s="43"/>
      <c r="G3" s="43"/>
      <c r="H3" s="43"/>
      <c r="I3" s="43"/>
      <c r="J3" s="43"/>
      <c r="K3" s="43"/>
      <c r="L3" s="44"/>
      <c r="M3" s="1"/>
      <c r="N3" s="42" t="s">
        <v>5</v>
      </c>
      <c r="O3" s="43"/>
      <c r="P3" s="43"/>
      <c r="Q3" s="43"/>
      <c r="R3" s="43"/>
      <c r="S3" s="43"/>
      <c r="T3" s="43"/>
      <c r="U3" s="43"/>
      <c r="V3" s="43"/>
      <c r="W3" s="43"/>
      <c r="X3" s="44"/>
      <c r="Y3" s="1"/>
      <c r="Z3" s="42" t="s">
        <v>5</v>
      </c>
      <c r="AA3" s="43"/>
      <c r="AB3" s="43"/>
      <c r="AC3" s="43"/>
      <c r="AD3" s="43"/>
      <c r="AE3" s="43"/>
      <c r="AF3" s="43"/>
      <c r="AG3" s="43"/>
      <c r="AH3" s="43"/>
      <c r="AI3" s="43"/>
      <c r="AJ3" s="44"/>
    </row>
    <row r="4" spans="2:36" x14ac:dyDescent="0.45">
      <c r="B4" s="26" t="s">
        <v>0</v>
      </c>
      <c r="C4" s="22" t="s">
        <v>10</v>
      </c>
      <c r="D4" s="22" t="s">
        <v>11</v>
      </c>
      <c r="E4" s="21" t="s">
        <v>20</v>
      </c>
      <c r="F4" s="22" t="s">
        <v>12</v>
      </c>
      <c r="G4" s="22" t="s">
        <v>13</v>
      </c>
      <c r="H4" s="21" t="s">
        <v>21</v>
      </c>
      <c r="I4" s="22" t="s">
        <v>14</v>
      </c>
      <c r="J4" s="22" t="s">
        <v>15</v>
      </c>
      <c r="K4" s="27" t="s">
        <v>22</v>
      </c>
      <c r="L4" s="23" t="s">
        <v>42</v>
      </c>
      <c r="M4" s="1"/>
      <c r="N4" s="26" t="s">
        <v>0</v>
      </c>
      <c r="O4" s="22" t="s">
        <v>10</v>
      </c>
      <c r="P4" s="22" t="s">
        <v>11</v>
      </c>
      <c r="Q4" s="21" t="s">
        <v>20</v>
      </c>
      <c r="R4" s="22" t="s">
        <v>12</v>
      </c>
      <c r="S4" s="22" t="s">
        <v>13</v>
      </c>
      <c r="T4" s="21" t="s">
        <v>21</v>
      </c>
      <c r="U4" s="22" t="s">
        <v>14</v>
      </c>
      <c r="V4" s="22" t="s">
        <v>15</v>
      </c>
      <c r="W4" s="27" t="s">
        <v>22</v>
      </c>
      <c r="X4" s="23" t="s">
        <v>42</v>
      </c>
      <c r="Y4" s="1"/>
      <c r="Z4" s="26" t="s">
        <v>0</v>
      </c>
      <c r="AA4" s="22" t="s">
        <v>10</v>
      </c>
      <c r="AB4" s="22" t="s">
        <v>11</v>
      </c>
      <c r="AC4" s="21" t="s">
        <v>20</v>
      </c>
      <c r="AD4" s="22" t="s">
        <v>12</v>
      </c>
      <c r="AE4" s="22" t="s">
        <v>13</v>
      </c>
      <c r="AF4" s="21" t="s">
        <v>21</v>
      </c>
      <c r="AG4" s="22" t="s">
        <v>14</v>
      </c>
      <c r="AH4" s="22" t="s">
        <v>15</v>
      </c>
      <c r="AI4" s="27" t="s">
        <v>22</v>
      </c>
      <c r="AJ4" s="23" t="s">
        <v>42</v>
      </c>
    </row>
    <row r="5" spans="2:36" x14ac:dyDescent="0.45">
      <c r="B5" s="5" t="s">
        <v>1</v>
      </c>
      <c r="C5" s="1">
        <v>5.75</v>
      </c>
      <c r="D5" s="1">
        <v>6.1</v>
      </c>
      <c r="E5" s="13">
        <f>AVERAGE(C5:D5)</f>
        <v>5.9249999999999998</v>
      </c>
      <c r="F5" s="1">
        <v>4.09</v>
      </c>
      <c r="G5" s="1">
        <v>4.2</v>
      </c>
      <c r="H5" s="20">
        <f>AVERAGE(F5:G5)</f>
        <v>4.1449999999999996</v>
      </c>
      <c r="I5" s="1">
        <v>3.8</v>
      </c>
      <c r="J5" s="1">
        <v>3.94</v>
      </c>
      <c r="K5" s="19">
        <f>AVERAGE(I5:J5)</f>
        <v>3.87</v>
      </c>
      <c r="L5" s="30">
        <f>AVERAGE(E5,H5,K5)</f>
        <v>4.6466666666666674</v>
      </c>
      <c r="M5" s="1"/>
      <c r="N5" s="5" t="s">
        <v>1</v>
      </c>
      <c r="O5" s="1">
        <v>0.98</v>
      </c>
      <c r="P5" s="1">
        <v>0.98</v>
      </c>
      <c r="Q5" s="13">
        <f>AVERAGE(O5:P5)</f>
        <v>0.98</v>
      </c>
      <c r="R5" s="1">
        <v>0.98</v>
      </c>
      <c r="S5" s="1">
        <v>0.98</v>
      </c>
      <c r="T5" s="20">
        <f>AVERAGE(R5:S5)</f>
        <v>0.98</v>
      </c>
      <c r="U5" s="1">
        <v>0.87</v>
      </c>
      <c r="V5" s="1">
        <v>0.85</v>
      </c>
      <c r="W5" s="19">
        <f>AVERAGE(U5:V5)</f>
        <v>0.86</v>
      </c>
      <c r="X5" s="30">
        <f>AVERAGE(Q5,T5,W5)</f>
        <v>0.94</v>
      </c>
      <c r="Y5" s="1"/>
      <c r="Z5" s="5" t="s">
        <v>1</v>
      </c>
      <c r="AA5" s="1">
        <v>89.11</v>
      </c>
      <c r="AB5" s="1">
        <v>88.12</v>
      </c>
      <c r="AC5" s="13">
        <f>AVERAGE(AA5:AB5)</f>
        <v>88.615000000000009</v>
      </c>
      <c r="AD5" s="1">
        <v>86.14</v>
      </c>
      <c r="AE5" s="1">
        <v>86.14</v>
      </c>
      <c r="AF5" s="20">
        <f>AVERAGE(AD5:AE5)</f>
        <v>86.14</v>
      </c>
      <c r="AG5" s="1">
        <v>76.239999999999995</v>
      </c>
      <c r="AH5" s="1">
        <v>77.23</v>
      </c>
      <c r="AI5" s="16">
        <f>AVERAGE(AG5:AH5)</f>
        <v>76.734999999999999</v>
      </c>
      <c r="AJ5" s="30">
        <f>AVERAGE(AC5,AF5,AI5)</f>
        <v>83.83</v>
      </c>
    </row>
    <row r="6" spans="2:36" x14ac:dyDescent="0.45">
      <c r="B6" s="5" t="s">
        <v>2</v>
      </c>
      <c r="C6" s="1">
        <v>9.48</v>
      </c>
      <c r="D6" s="1">
        <v>9.83</v>
      </c>
      <c r="E6" s="13">
        <f t="shared" ref="E6:E9" si="0">AVERAGE(C6:D6)</f>
        <v>9.6550000000000011</v>
      </c>
      <c r="F6" s="1">
        <v>7.46</v>
      </c>
      <c r="G6" s="1">
        <v>7.62</v>
      </c>
      <c r="H6" s="13">
        <f t="shared" ref="H6:H9" si="1">AVERAGE(F6:G6)</f>
        <v>7.54</v>
      </c>
      <c r="I6" s="1">
        <v>4.01</v>
      </c>
      <c r="J6" s="1">
        <v>3.88</v>
      </c>
      <c r="K6" s="16">
        <f t="shared" ref="K6:K9" si="2">AVERAGE(I6:J6)</f>
        <v>3.9449999999999998</v>
      </c>
      <c r="L6" s="24">
        <f t="shared" ref="L6:L9" si="3">AVERAGE(E6,H6,K6)</f>
        <v>7.0466666666666669</v>
      </c>
      <c r="M6" s="1"/>
      <c r="N6" s="5" t="s">
        <v>2</v>
      </c>
      <c r="O6" s="1">
        <v>0.9</v>
      </c>
      <c r="P6" s="1">
        <v>0.9</v>
      </c>
      <c r="Q6" s="13">
        <f t="shared" ref="Q6:Q9" si="4">AVERAGE(O6:P6)</f>
        <v>0.9</v>
      </c>
      <c r="R6" s="1">
        <v>0.96</v>
      </c>
      <c r="S6" s="1">
        <v>0.96</v>
      </c>
      <c r="T6" s="13">
        <f t="shared" ref="T6:T9" si="5">AVERAGE(R6:S6)</f>
        <v>0.96</v>
      </c>
      <c r="U6" s="1">
        <v>0.82</v>
      </c>
      <c r="V6" s="1">
        <v>0.83</v>
      </c>
      <c r="W6" s="16">
        <f t="shared" ref="W6:W9" si="6">AVERAGE(U6:V6)</f>
        <v>0.82499999999999996</v>
      </c>
      <c r="X6" s="30">
        <f t="shared" ref="X6:X9" si="7">AVERAGE(Q6,T6,W6)</f>
        <v>0.89499999999999991</v>
      </c>
      <c r="Y6" s="1"/>
      <c r="Z6" s="5" t="s">
        <v>2</v>
      </c>
      <c r="AA6" s="1">
        <v>67.33</v>
      </c>
      <c r="AB6" s="1">
        <v>67.33</v>
      </c>
      <c r="AC6" s="13">
        <f t="shared" ref="AC6:AC9" si="8">AVERAGE(AA6:AB6)</f>
        <v>67.33</v>
      </c>
      <c r="AD6" s="1">
        <v>56.44</v>
      </c>
      <c r="AE6" s="1">
        <v>56.44</v>
      </c>
      <c r="AF6" s="13">
        <f t="shared" ref="AF6:AF9" si="9">AVERAGE(AD6:AE6)</f>
        <v>56.44</v>
      </c>
      <c r="AG6" s="1">
        <v>78.22</v>
      </c>
      <c r="AH6" s="1">
        <v>81.19</v>
      </c>
      <c r="AI6" s="19">
        <f t="shared" ref="AI6:AI9" si="10">AVERAGE(AG6:AH6)</f>
        <v>79.704999999999998</v>
      </c>
      <c r="AJ6" s="24">
        <f t="shared" ref="AJ6:AJ9" si="11">AVERAGE(AC6,AF6,AI6)</f>
        <v>67.825000000000003</v>
      </c>
    </row>
    <row r="7" spans="2:36" x14ac:dyDescent="0.45">
      <c r="B7" s="5" t="s">
        <v>3</v>
      </c>
      <c r="C7" s="1">
        <v>4.09</v>
      </c>
      <c r="D7" s="1">
        <v>4.41</v>
      </c>
      <c r="E7" s="20">
        <f t="shared" si="0"/>
        <v>4.25</v>
      </c>
      <c r="F7" s="1">
        <v>5.13</v>
      </c>
      <c r="G7" s="1">
        <v>5.14</v>
      </c>
      <c r="H7" s="13">
        <f t="shared" si="1"/>
        <v>5.1349999999999998</v>
      </c>
      <c r="I7" s="1">
        <v>8.7200000000000006</v>
      </c>
      <c r="J7" s="1">
        <v>8.77</v>
      </c>
      <c r="K7" s="16">
        <f t="shared" si="2"/>
        <v>8.745000000000001</v>
      </c>
      <c r="L7" s="30">
        <f t="shared" si="3"/>
        <v>6.0433333333333339</v>
      </c>
      <c r="M7" s="1"/>
      <c r="N7" s="5" t="s">
        <v>3</v>
      </c>
      <c r="O7" s="1">
        <v>1</v>
      </c>
      <c r="P7" s="1">
        <v>1</v>
      </c>
      <c r="Q7" s="20">
        <f t="shared" si="4"/>
        <v>1</v>
      </c>
      <c r="R7" s="1">
        <v>0.96</v>
      </c>
      <c r="S7" s="1">
        <v>0.96</v>
      </c>
      <c r="T7" s="13">
        <f t="shared" si="5"/>
        <v>0.96</v>
      </c>
      <c r="U7" s="1">
        <v>0.54</v>
      </c>
      <c r="V7" s="1">
        <v>0.49</v>
      </c>
      <c r="W7" s="16">
        <f t="shared" si="6"/>
        <v>0.51500000000000001</v>
      </c>
      <c r="X7" s="24">
        <f t="shared" si="7"/>
        <v>0.82500000000000007</v>
      </c>
      <c r="Y7" s="1"/>
      <c r="Z7" s="5" t="s">
        <v>3</v>
      </c>
      <c r="AA7" s="1">
        <v>100</v>
      </c>
      <c r="AB7" s="1">
        <v>99.01</v>
      </c>
      <c r="AC7" s="20">
        <f t="shared" si="8"/>
        <v>99.504999999999995</v>
      </c>
      <c r="AD7" s="1">
        <v>75.25</v>
      </c>
      <c r="AE7" s="1">
        <v>74.260000000000005</v>
      </c>
      <c r="AF7" s="13">
        <f t="shared" si="9"/>
        <v>74.754999999999995</v>
      </c>
      <c r="AG7" s="1">
        <v>39.6</v>
      </c>
      <c r="AH7" s="1">
        <v>40.590000000000003</v>
      </c>
      <c r="AI7" s="16">
        <f t="shared" si="10"/>
        <v>40.094999999999999</v>
      </c>
      <c r="AJ7" s="30">
        <f t="shared" si="11"/>
        <v>71.451666666666668</v>
      </c>
    </row>
    <row r="8" spans="2:36" x14ac:dyDescent="0.45">
      <c r="B8" s="5" t="s">
        <v>4</v>
      </c>
      <c r="C8" s="1">
        <v>8.51</v>
      </c>
      <c r="D8" s="1">
        <v>10.8</v>
      </c>
      <c r="E8" s="13">
        <f t="shared" si="0"/>
        <v>9.6550000000000011</v>
      </c>
      <c r="F8" s="1">
        <v>17.95</v>
      </c>
      <c r="G8" s="1">
        <v>18.600000000000001</v>
      </c>
      <c r="H8" s="13">
        <f t="shared" si="1"/>
        <v>18.274999999999999</v>
      </c>
      <c r="I8" s="1">
        <v>10.6</v>
      </c>
      <c r="J8" s="1">
        <v>10.77</v>
      </c>
      <c r="K8" s="16">
        <f t="shared" si="2"/>
        <v>10.684999999999999</v>
      </c>
      <c r="L8" s="24">
        <f t="shared" si="3"/>
        <v>12.871666666666664</v>
      </c>
      <c r="M8" s="1"/>
      <c r="N8" s="5" t="s">
        <v>4</v>
      </c>
      <c r="O8" s="1">
        <v>0.86</v>
      </c>
      <c r="P8" s="1">
        <v>0.73</v>
      </c>
      <c r="Q8" s="13">
        <f t="shared" si="4"/>
        <v>0.79499999999999993</v>
      </c>
      <c r="R8" s="1">
        <v>0.66</v>
      </c>
      <c r="S8" s="1">
        <v>0.46</v>
      </c>
      <c r="T8" s="13">
        <f t="shared" si="5"/>
        <v>0.56000000000000005</v>
      </c>
      <c r="U8" s="1">
        <v>0.64</v>
      </c>
      <c r="V8" s="1">
        <v>0.56000000000000005</v>
      </c>
      <c r="W8" s="16">
        <f t="shared" si="6"/>
        <v>0.60000000000000009</v>
      </c>
      <c r="X8" s="24">
        <f t="shared" si="7"/>
        <v>0.65166666666666673</v>
      </c>
      <c r="Y8" s="1"/>
      <c r="Z8" s="5" t="s">
        <v>4</v>
      </c>
      <c r="AA8" s="1">
        <v>60.4</v>
      </c>
      <c r="AB8" s="1">
        <v>52.48</v>
      </c>
      <c r="AC8" s="13">
        <f t="shared" si="8"/>
        <v>56.44</v>
      </c>
      <c r="AD8" s="1">
        <v>11.88</v>
      </c>
      <c r="AE8" s="1">
        <v>9.9</v>
      </c>
      <c r="AF8" s="13">
        <f t="shared" si="9"/>
        <v>10.89</v>
      </c>
      <c r="AG8" s="1">
        <v>21.78</v>
      </c>
      <c r="AH8" s="1">
        <v>34.65</v>
      </c>
      <c r="AI8" s="16">
        <f t="shared" si="10"/>
        <v>28.215</v>
      </c>
      <c r="AJ8" s="24">
        <f t="shared" si="11"/>
        <v>31.848333333333333</v>
      </c>
    </row>
    <row r="9" spans="2:36" x14ac:dyDescent="0.45">
      <c r="B9" s="7" t="s">
        <v>41</v>
      </c>
      <c r="C9" s="8">
        <v>5.23</v>
      </c>
      <c r="D9" s="8">
        <v>4.0199999999999996</v>
      </c>
      <c r="E9" s="14">
        <f t="shared" si="0"/>
        <v>4.625</v>
      </c>
      <c r="F9" s="8">
        <v>16.53</v>
      </c>
      <c r="G9" s="8">
        <v>14.17</v>
      </c>
      <c r="H9" s="14">
        <f t="shared" si="1"/>
        <v>15.350000000000001</v>
      </c>
      <c r="I9" s="8">
        <v>6.53</v>
      </c>
      <c r="J9" s="8">
        <v>5.4</v>
      </c>
      <c r="K9" s="17">
        <f t="shared" si="2"/>
        <v>5.9649999999999999</v>
      </c>
      <c r="L9" s="25">
        <f t="shared" si="3"/>
        <v>8.6466666666666665</v>
      </c>
      <c r="M9" s="1"/>
      <c r="N9" s="7" t="s">
        <v>41</v>
      </c>
      <c r="O9" s="8">
        <v>0.97</v>
      </c>
      <c r="P9" s="8">
        <v>0.97</v>
      </c>
      <c r="Q9" s="14">
        <f t="shared" si="4"/>
        <v>0.97</v>
      </c>
      <c r="R9" s="8">
        <v>0.76</v>
      </c>
      <c r="S9" s="8">
        <v>0.77</v>
      </c>
      <c r="T9" s="14">
        <f t="shared" si="5"/>
        <v>0.76500000000000001</v>
      </c>
      <c r="U9" s="8">
        <v>0.74</v>
      </c>
      <c r="V9" s="8">
        <v>0.77</v>
      </c>
      <c r="W9" s="17">
        <f t="shared" si="6"/>
        <v>0.755</v>
      </c>
      <c r="X9" s="25">
        <f t="shared" si="7"/>
        <v>0.83</v>
      </c>
      <c r="Y9" s="1"/>
      <c r="Z9" s="7" t="s">
        <v>41</v>
      </c>
      <c r="AA9" s="8">
        <v>85.15</v>
      </c>
      <c r="AB9" s="8">
        <v>96.04</v>
      </c>
      <c r="AC9" s="14">
        <f t="shared" si="8"/>
        <v>90.594999999999999</v>
      </c>
      <c r="AD9" s="8">
        <v>52.48</v>
      </c>
      <c r="AE9" s="8">
        <v>66.34</v>
      </c>
      <c r="AF9" s="14">
        <f t="shared" si="9"/>
        <v>59.41</v>
      </c>
      <c r="AG9" s="8">
        <v>45.54</v>
      </c>
      <c r="AH9" s="8">
        <v>59.41</v>
      </c>
      <c r="AI9" s="17">
        <f t="shared" si="10"/>
        <v>52.474999999999994</v>
      </c>
      <c r="AJ9" s="25">
        <f t="shared" si="11"/>
        <v>67.493333333333325</v>
      </c>
    </row>
    <row r="10" spans="2:36" x14ac:dyDescent="0.45"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</row>
    <row r="11" spans="2:36" x14ac:dyDescent="0.45"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</row>
    <row r="12" spans="2:36" ht="15.75" x14ac:dyDescent="0.5">
      <c r="B12" s="45" t="s">
        <v>43</v>
      </c>
      <c r="C12" s="46"/>
      <c r="D12" s="46"/>
      <c r="E12" s="46"/>
      <c r="F12" s="46"/>
      <c r="G12" s="46"/>
      <c r="H12" s="46"/>
      <c r="I12" s="46"/>
      <c r="J12" s="46"/>
      <c r="K12" s="46"/>
      <c r="L12" s="47"/>
      <c r="M12" s="1"/>
      <c r="N12" s="45" t="s">
        <v>8</v>
      </c>
      <c r="O12" s="46"/>
      <c r="P12" s="46"/>
      <c r="Q12" s="46"/>
      <c r="R12" s="46"/>
      <c r="S12" s="46"/>
      <c r="T12" s="46"/>
      <c r="U12" s="46"/>
      <c r="V12" s="46"/>
      <c r="W12" s="46"/>
      <c r="X12" s="47"/>
      <c r="Y12" s="1"/>
      <c r="Z12" s="45" t="s">
        <v>9</v>
      </c>
      <c r="AA12" s="46"/>
      <c r="AB12" s="46"/>
      <c r="AC12" s="46"/>
      <c r="AD12" s="46"/>
      <c r="AE12" s="46"/>
      <c r="AF12" s="46"/>
      <c r="AG12" s="46"/>
      <c r="AH12" s="46"/>
      <c r="AI12" s="46"/>
      <c r="AJ12" s="47"/>
    </row>
    <row r="13" spans="2:36" x14ac:dyDescent="0.45">
      <c r="B13" s="2" t="s">
        <v>0</v>
      </c>
      <c r="C13" s="3" t="s">
        <v>16</v>
      </c>
      <c r="D13" s="3" t="s">
        <v>17</v>
      </c>
      <c r="E13" s="12" t="s">
        <v>23</v>
      </c>
      <c r="F13" s="3" t="s">
        <v>18</v>
      </c>
      <c r="G13" s="3" t="s">
        <v>19</v>
      </c>
      <c r="H13" s="12" t="s">
        <v>24</v>
      </c>
      <c r="I13" s="3"/>
      <c r="J13" s="3"/>
      <c r="K13" s="4"/>
      <c r="L13" s="4" t="s">
        <v>42</v>
      </c>
      <c r="M13" s="1"/>
      <c r="N13" s="2" t="s">
        <v>0</v>
      </c>
      <c r="O13" s="3" t="s">
        <v>16</v>
      </c>
      <c r="P13" s="3" t="s">
        <v>17</v>
      </c>
      <c r="Q13" s="12" t="s">
        <v>23</v>
      </c>
      <c r="R13" s="3" t="s">
        <v>18</v>
      </c>
      <c r="S13" s="3" t="s">
        <v>19</v>
      </c>
      <c r="T13" s="12" t="s">
        <v>24</v>
      </c>
      <c r="U13" s="3"/>
      <c r="V13" s="3"/>
      <c r="W13" s="4"/>
      <c r="X13" s="4" t="s">
        <v>42</v>
      </c>
      <c r="Y13" s="1"/>
      <c r="Z13" s="2" t="s">
        <v>0</v>
      </c>
      <c r="AA13" s="3" t="s">
        <v>16</v>
      </c>
      <c r="AB13" s="3" t="s">
        <v>17</v>
      </c>
      <c r="AC13" s="12" t="s">
        <v>23</v>
      </c>
      <c r="AD13" s="3" t="s">
        <v>18</v>
      </c>
      <c r="AE13" s="3" t="s">
        <v>19</v>
      </c>
      <c r="AF13" s="12" t="s">
        <v>24</v>
      </c>
      <c r="AG13" s="3"/>
      <c r="AH13" s="3"/>
      <c r="AI13" s="4"/>
      <c r="AJ13" s="4" t="s">
        <v>42</v>
      </c>
    </row>
    <row r="14" spans="2:36" x14ac:dyDescent="0.45">
      <c r="B14" s="5" t="s">
        <v>1</v>
      </c>
      <c r="C14" s="1">
        <v>0.22</v>
      </c>
      <c r="D14" s="1">
        <v>0.23</v>
      </c>
      <c r="E14" s="20">
        <f>AVERAGE(C14:D14)</f>
        <v>0.22500000000000001</v>
      </c>
      <c r="F14" s="1">
        <v>0.78</v>
      </c>
      <c r="G14" s="1">
        <v>0.83</v>
      </c>
      <c r="H14" s="20">
        <f>AVERAGE(F14:G14)</f>
        <v>0.80499999999999994</v>
      </c>
      <c r="I14" s="1"/>
      <c r="J14" s="1"/>
      <c r="K14" s="6"/>
      <c r="L14" s="33">
        <f>AVERAGE(E14,H14)</f>
        <v>0.51500000000000001</v>
      </c>
      <c r="M14" s="1"/>
      <c r="N14" s="5" t="s">
        <v>1</v>
      </c>
      <c r="O14" s="1">
        <v>0.96</v>
      </c>
      <c r="P14" s="1">
        <v>0.95</v>
      </c>
      <c r="Q14" s="20">
        <f>AVERAGE(O14:P14)</f>
        <v>0.95499999999999996</v>
      </c>
      <c r="R14" s="1">
        <v>0.98</v>
      </c>
      <c r="S14" s="1">
        <v>0.98</v>
      </c>
      <c r="T14" s="20">
        <f>AVERAGE(R14:S14)</f>
        <v>0.98</v>
      </c>
      <c r="U14" s="1"/>
      <c r="V14" s="1"/>
      <c r="W14" s="6"/>
      <c r="X14" s="33">
        <f>AVERAGE(Q14,T14)</f>
        <v>0.96750000000000003</v>
      </c>
      <c r="Y14" s="1"/>
      <c r="Z14" s="5" t="s">
        <v>1</v>
      </c>
      <c r="AA14" s="1">
        <v>78.22</v>
      </c>
      <c r="AB14" s="1">
        <v>74.260000000000005</v>
      </c>
      <c r="AC14" s="20">
        <f>AVERAGE(AA14:AB14)</f>
        <v>76.240000000000009</v>
      </c>
      <c r="AD14" s="1">
        <v>75.25</v>
      </c>
      <c r="AE14" s="1">
        <v>73.27</v>
      </c>
      <c r="AF14" s="20">
        <f>AVERAGE(AD14:AE14)</f>
        <v>74.259999999999991</v>
      </c>
      <c r="AG14" s="1"/>
      <c r="AH14" s="1"/>
      <c r="AI14" s="6"/>
      <c r="AJ14" s="33">
        <f>AVERAGE(AC14,AF14)</f>
        <v>75.25</v>
      </c>
    </row>
    <row r="15" spans="2:36" x14ac:dyDescent="0.45">
      <c r="B15" s="5" t="s">
        <v>2</v>
      </c>
      <c r="C15" s="1">
        <v>0.33</v>
      </c>
      <c r="D15" s="1">
        <v>0.34</v>
      </c>
      <c r="E15" s="13">
        <f t="shared" ref="E15:E18" si="12">AVERAGE(C15:D15)</f>
        <v>0.33500000000000002</v>
      </c>
      <c r="F15" s="1">
        <v>1.29</v>
      </c>
      <c r="G15" s="1">
        <v>1.32</v>
      </c>
      <c r="H15" s="13">
        <f t="shared" ref="H15:H18" si="13">AVERAGE(F15:G15)</f>
        <v>1.3050000000000002</v>
      </c>
      <c r="I15" s="1"/>
      <c r="J15" s="1"/>
      <c r="K15" s="6"/>
      <c r="L15" s="33">
        <f>AVERAGE(E15,H15)</f>
        <v>0.82000000000000006</v>
      </c>
      <c r="M15" s="1"/>
      <c r="N15" s="5" t="s">
        <v>2</v>
      </c>
      <c r="O15" s="1">
        <v>0.92</v>
      </c>
      <c r="P15" s="1">
        <v>0.93</v>
      </c>
      <c r="Q15" s="13">
        <f t="shared" ref="Q15:Q18" si="14">AVERAGE(O15:P15)</f>
        <v>0.92500000000000004</v>
      </c>
      <c r="R15" s="1">
        <v>0.96</v>
      </c>
      <c r="S15" s="1">
        <v>0.96</v>
      </c>
      <c r="T15" s="13">
        <f t="shared" ref="T15:T18" si="15">AVERAGE(R15:S15)</f>
        <v>0.96</v>
      </c>
      <c r="U15" s="1"/>
      <c r="V15" s="1"/>
      <c r="W15" s="6"/>
      <c r="X15" s="33">
        <f>AVERAGE(Q15,T15)</f>
        <v>0.9425</v>
      </c>
      <c r="Y15" s="1"/>
      <c r="Z15" s="5" t="s">
        <v>2</v>
      </c>
      <c r="AA15" s="1">
        <v>76.239999999999995</v>
      </c>
      <c r="AB15" s="1">
        <v>71.290000000000006</v>
      </c>
      <c r="AC15" s="13">
        <f t="shared" ref="AC15:AC18" si="16">AVERAGE(AA15:AB15)</f>
        <v>73.765000000000001</v>
      </c>
      <c r="AD15" s="1">
        <v>64.36</v>
      </c>
      <c r="AE15" s="1">
        <v>66.34</v>
      </c>
      <c r="AF15" s="13">
        <f t="shared" ref="AF15:AF18" si="17">AVERAGE(AD15:AE15)</f>
        <v>65.349999999999994</v>
      </c>
      <c r="AG15" s="1"/>
      <c r="AH15" s="1"/>
      <c r="AI15" s="6"/>
      <c r="AJ15" s="33">
        <f>AVERAGE(AC15,AF15)</f>
        <v>69.557500000000005</v>
      </c>
    </row>
    <row r="16" spans="2:36" x14ac:dyDescent="0.45">
      <c r="B16" s="5" t="s">
        <v>3</v>
      </c>
      <c r="C16" s="1">
        <v>0.44</v>
      </c>
      <c r="D16" s="1">
        <v>0.44</v>
      </c>
      <c r="E16" s="13">
        <f t="shared" si="12"/>
        <v>0.44</v>
      </c>
      <c r="F16" s="1">
        <v>1.76</v>
      </c>
      <c r="G16" s="1">
        <v>1.78</v>
      </c>
      <c r="H16" s="13">
        <f t="shared" si="13"/>
        <v>1.77</v>
      </c>
      <c r="I16" s="1"/>
      <c r="J16" s="1"/>
      <c r="K16" s="6"/>
      <c r="L16" s="34">
        <f>AVERAGE(E16,H16)</f>
        <v>1.105</v>
      </c>
      <c r="M16" s="1"/>
      <c r="N16" s="5" t="s">
        <v>3</v>
      </c>
      <c r="O16" s="1">
        <v>0.85</v>
      </c>
      <c r="P16" s="1">
        <v>0.86</v>
      </c>
      <c r="Q16" s="13">
        <f t="shared" si="14"/>
        <v>0.85499999999999998</v>
      </c>
      <c r="R16" s="1">
        <v>0.93</v>
      </c>
      <c r="S16" s="1">
        <v>0.93</v>
      </c>
      <c r="T16" s="13">
        <f t="shared" si="15"/>
        <v>0.93</v>
      </c>
      <c r="U16" s="1"/>
      <c r="V16" s="1"/>
      <c r="W16" s="6"/>
      <c r="X16" s="34">
        <f>AVERAGE(Q16,T16)</f>
        <v>0.89250000000000007</v>
      </c>
      <c r="Y16" s="1"/>
      <c r="Z16" s="5" t="s">
        <v>3</v>
      </c>
      <c r="AA16" s="1">
        <v>46.53</v>
      </c>
      <c r="AB16" s="1">
        <v>51.49</v>
      </c>
      <c r="AC16" s="13">
        <f t="shared" si="16"/>
        <v>49.010000000000005</v>
      </c>
      <c r="AD16" s="1">
        <v>71.290000000000006</v>
      </c>
      <c r="AE16" s="1">
        <v>67.33</v>
      </c>
      <c r="AF16" s="13">
        <f t="shared" si="17"/>
        <v>69.31</v>
      </c>
      <c r="AG16" s="1"/>
      <c r="AH16" s="1"/>
      <c r="AI16" s="6"/>
      <c r="AJ16" s="34">
        <f>AVERAGE(AC16,AF16)</f>
        <v>59.160000000000004</v>
      </c>
    </row>
    <row r="17" spans="2:36" x14ac:dyDescent="0.45">
      <c r="B17" s="5" t="s">
        <v>4</v>
      </c>
      <c r="C17" s="1">
        <v>0.44</v>
      </c>
      <c r="D17" s="1">
        <v>0.36</v>
      </c>
      <c r="E17" s="13">
        <f t="shared" si="12"/>
        <v>0.4</v>
      </c>
      <c r="F17" s="1">
        <v>1.1399999999999999</v>
      </c>
      <c r="G17" s="1">
        <v>1.76</v>
      </c>
      <c r="H17" s="13">
        <f t="shared" si="13"/>
        <v>1.45</v>
      </c>
      <c r="I17" s="1"/>
      <c r="J17" s="1"/>
      <c r="K17" s="6"/>
      <c r="L17" s="34">
        <f>AVERAGE(E17,H17)</f>
        <v>0.92500000000000004</v>
      </c>
      <c r="M17" s="1"/>
      <c r="N17" s="5" t="s">
        <v>4</v>
      </c>
      <c r="O17" s="1">
        <v>0.88</v>
      </c>
      <c r="P17" s="1">
        <v>0.9</v>
      </c>
      <c r="Q17" s="13">
        <f t="shared" si="14"/>
        <v>0.89</v>
      </c>
      <c r="R17" s="1">
        <v>0.96</v>
      </c>
      <c r="S17" s="1">
        <v>0.91</v>
      </c>
      <c r="T17" s="13">
        <f t="shared" si="15"/>
        <v>0.93500000000000005</v>
      </c>
      <c r="U17" s="1"/>
      <c r="V17" s="1"/>
      <c r="W17" s="6"/>
      <c r="X17" s="34">
        <f>AVERAGE(Q17,T17)</f>
        <v>0.91250000000000009</v>
      </c>
      <c r="Y17" s="1"/>
      <c r="Z17" s="5" t="s">
        <v>4</v>
      </c>
      <c r="AA17" s="1">
        <v>63.37</v>
      </c>
      <c r="AB17" s="1">
        <v>59.41</v>
      </c>
      <c r="AC17" s="13">
        <f t="shared" si="16"/>
        <v>61.39</v>
      </c>
      <c r="AD17" s="1">
        <v>57.43</v>
      </c>
      <c r="AE17" s="1">
        <v>39.6</v>
      </c>
      <c r="AF17" s="13">
        <f t="shared" si="17"/>
        <v>48.515000000000001</v>
      </c>
      <c r="AG17" s="1"/>
      <c r="AH17" s="1"/>
      <c r="AI17" s="6"/>
      <c r="AJ17" s="34">
        <f>AVERAGE(AC17,AF17)</f>
        <v>54.952500000000001</v>
      </c>
    </row>
    <row r="18" spans="2:36" x14ac:dyDescent="0.45">
      <c r="B18" s="7" t="s">
        <v>41</v>
      </c>
      <c r="C18" s="8">
        <v>0.63</v>
      </c>
      <c r="D18" s="8">
        <v>0.56000000000000005</v>
      </c>
      <c r="E18" s="14">
        <f t="shared" si="12"/>
        <v>0.59499999999999997</v>
      </c>
      <c r="F18" s="8">
        <v>1.81</v>
      </c>
      <c r="G18" s="8">
        <v>1.95</v>
      </c>
      <c r="H18" s="14">
        <f t="shared" si="13"/>
        <v>1.88</v>
      </c>
      <c r="I18" s="8"/>
      <c r="J18" s="8"/>
      <c r="K18" s="9"/>
      <c r="L18" s="35">
        <f>AVERAGE(E18,H18)</f>
        <v>1.2374999999999998</v>
      </c>
      <c r="M18" s="1"/>
      <c r="N18" s="7" t="s">
        <v>41</v>
      </c>
      <c r="O18" s="8">
        <v>0.73</v>
      </c>
      <c r="P18" s="8">
        <v>0.77</v>
      </c>
      <c r="Q18" s="14">
        <f t="shared" si="14"/>
        <v>0.75</v>
      </c>
      <c r="R18" s="8">
        <v>0.91</v>
      </c>
      <c r="S18" s="8">
        <v>0.89</v>
      </c>
      <c r="T18" s="14">
        <f t="shared" si="15"/>
        <v>0.9</v>
      </c>
      <c r="U18" s="8"/>
      <c r="V18" s="8"/>
      <c r="W18" s="9"/>
      <c r="X18" s="35">
        <f>AVERAGE(Q18,T18)</f>
        <v>0.82499999999999996</v>
      </c>
      <c r="Y18" s="1"/>
      <c r="Z18" s="7" t="s">
        <v>41</v>
      </c>
      <c r="AA18" s="8">
        <v>55.45</v>
      </c>
      <c r="AB18" s="8">
        <v>49.5</v>
      </c>
      <c r="AC18" s="14">
        <f t="shared" si="16"/>
        <v>52.475000000000001</v>
      </c>
      <c r="AD18" s="8">
        <v>60.4</v>
      </c>
      <c r="AE18" s="8">
        <v>52.48</v>
      </c>
      <c r="AF18" s="14">
        <f t="shared" si="17"/>
        <v>56.44</v>
      </c>
      <c r="AG18" s="8"/>
      <c r="AH18" s="8"/>
      <c r="AI18" s="9"/>
      <c r="AJ18" s="35">
        <f>AVERAGE(AC18,AF18)</f>
        <v>54.457499999999996</v>
      </c>
    </row>
    <row r="19" spans="2:36" x14ac:dyDescent="0.45"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</row>
    <row r="20" spans="2:36" x14ac:dyDescent="0.45"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</row>
    <row r="21" spans="2:36" ht="15.75" x14ac:dyDescent="0.5">
      <c r="B21" s="39" t="s">
        <v>44</v>
      </c>
      <c r="C21" s="40"/>
      <c r="D21" s="40"/>
      <c r="E21" s="40"/>
      <c r="F21" s="40"/>
      <c r="G21" s="40"/>
      <c r="H21" s="40"/>
      <c r="I21" s="40"/>
      <c r="J21" s="40"/>
      <c r="K21" s="40"/>
      <c r="L21" s="41"/>
      <c r="M21" s="1"/>
      <c r="N21" s="39" t="s">
        <v>8</v>
      </c>
      <c r="O21" s="40"/>
      <c r="P21" s="40"/>
      <c r="Q21" s="40"/>
      <c r="R21" s="40"/>
      <c r="S21" s="40"/>
      <c r="T21" s="40"/>
      <c r="U21" s="40"/>
      <c r="V21" s="40"/>
      <c r="W21" s="40"/>
      <c r="X21" s="41"/>
      <c r="Y21" s="1"/>
      <c r="Z21" s="39" t="s">
        <v>9</v>
      </c>
      <c r="AA21" s="40"/>
      <c r="AB21" s="40"/>
      <c r="AC21" s="40"/>
      <c r="AD21" s="40"/>
      <c r="AE21" s="40"/>
      <c r="AF21" s="40"/>
      <c r="AG21" s="40"/>
      <c r="AH21" s="40"/>
      <c r="AI21" s="40"/>
      <c r="AJ21" s="41"/>
    </row>
    <row r="22" spans="2:36" x14ac:dyDescent="0.45">
      <c r="B22" s="42" t="s">
        <v>6</v>
      </c>
      <c r="C22" s="43"/>
      <c r="D22" s="43"/>
      <c r="E22" s="43"/>
      <c r="F22" s="43"/>
      <c r="G22" s="43"/>
      <c r="H22" s="43"/>
      <c r="I22" s="43"/>
      <c r="J22" s="43"/>
      <c r="K22" s="43"/>
      <c r="L22" s="44"/>
      <c r="M22" s="1"/>
      <c r="N22" s="42" t="s">
        <v>6</v>
      </c>
      <c r="O22" s="43"/>
      <c r="P22" s="43"/>
      <c r="Q22" s="43"/>
      <c r="R22" s="43"/>
      <c r="S22" s="43"/>
      <c r="T22" s="43"/>
      <c r="U22" s="43"/>
      <c r="V22" s="43"/>
      <c r="W22" s="43"/>
      <c r="X22" s="44"/>
      <c r="Y22" s="1"/>
      <c r="Z22" s="42" t="s">
        <v>6</v>
      </c>
      <c r="AA22" s="43"/>
      <c r="AB22" s="43"/>
      <c r="AC22" s="43"/>
      <c r="AD22" s="43"/>
      <c r="AE22" s="43"/>
      <c r="AF22" s="43"/>
      <c r="AG22" s="43"/>
      <c r="AH22" s="43"/>
      <c r="AI22" s="43"/>
      <c r="AJ22" s="44"/>
    </row>
    <row r="23" spans="2:36" x14ac:dyDescent="0.45">
      <c r="B23" s="26" t="s">
        <v>0</v>
      </c>
      <c r="C23" s="22" t="s">
        <v>10</v>
      </c>
      <c r="D23" s="22" t="s">
        <v>11</v>
      </c>
      <c r="E23" s="21" t="s">
        <v>20</v>
      </c>
      <c r="F23" s="22" t="s">
        <v>12</v>
      </c>
      <c r="G23" s="22" t="s">
        <v>13</v>
      </c>
      <c r="H23" s="21" t="s">
        <v>21</v>
      </c>
      <c r="I23" s="22" t="s">
        <v>14</v>
      </c>
      <c r="J23" s="22" t="s">
        <v>15</v>
      </c>
      <c r="K23" s="27" t="s">
        <v>22</v>
      </c>
      <c r="L23" s="28" t="s">
        <v>42</v>
      </c>
      <c r="M23" s="1"/>
      <c r="N23" s="2" t="s">
        <v>0</v>
      </c>
      <c r="O23" s="3" t="s">
        <v>10</v>
      </c>
      <c r="P23" s="3" t="s">
        <v>11</v>
      </c>
      <c r="Q23" s="12" t="s">
        <v>20</v>
      </c>
      <c r="R23" s="3" t="s">
        <v>12</v>
      </c>
      <c r="S23" s="3" t="s">
        <v>13</v>
      </c>
      <c r="T23" s="12" t="s">
        <v>21</v>
      </c>
      <c r="U23" s="3" t="s">
        <v>14</v>
      </c>
      <c r="V23" s="3" t="s">
        <v>15</v>
      </c>
      <c r="W23" s="15" t="s">
        <v>22</v>
      </c>
      <c r="X23" s="28" t="s">
        <v>42</v>
      </c>
      <c r="Y23" s="1"/>
      <c r="Z23" s="2" t="s">
        <v>0</v>
      </c>
      <c r="AA23" s="3" t="s">
        <v>10</v>
      </c>
      <c r="AB23" s="3" t="s">
        <v>11</v>
      </c>
      <c r="AC23" s="12" t="s">
        <v>20</v>
      </c>
      <c r="AD23" s="3" t="s">
        <v>12</v>
      </c>
      <c r="AE23" s="3" t="s">
        <v>13</v>
      </c>
      <c r="AF23" s="12" t="s">
        <v>21</v>
      </c>
      <c r="AG23" s="3" t="s">
        <v>14</v>
      </c>
      <c r="AH23" s="3" t="s">
        <v>15</v>
      </c>
      <c r="AI23" s="15" t="s">
        <v>22</v>
      </c>
      <c r="AJ23" s="28" t="s">
        <v>42</v>
      </c>
    </row>
    <row r="24" spans="2:36" x14ac:dyDescent="0.45">
      <c r="B24" s="5" t="s">
        <v>1</v>
      </c>
      <c r="C24" s="1">
        <v>0.28999999999999998</v>
      </c>
      <c r="D24" s="1">
        <v>0.28000000000000003</v>
      </c>
      <c r="E24" s="13">
        <f>AVERAGE(C24:D24)</f>
        <v>0.28500000000000003</v>
      </c>
      <c r="F24" s="1">
        <v>0.12</v>
      </c>
      <c r="G24" s="1">
        <v>0.11</v>
      </c>
      <c r="H24" s="20">
        <f>AVERAGE(F24:G24)</f>
        <v>0.11499999999999999</v>
      </c>
      <c r="I24" s="1">
        <v>0.14000000000000001</v>
      </c>
      <c r="J24" s="1">
        <v>0.15</v>
      </c>
      <c r="K24" s="16">
        <f>AVERAGE(I24:J24)</f>
        <v>0.14500000000000002</v>
      </c>
      <c r="L24" s="30">
        <f>AVERAGE(E24,H24,K24)</f>
        <v>0.18166666666666667</v>
      </c>
      <c r="M24" s="1"/>
      <c r="N24" s="5" t="s">
        <v>1</v>
      </c>
      <c r="O24" s="1">
        <v>0.77</v>
      </c>
      <c r="P24" s="1">
        <v>0.79</v>
      </c>
      <c r="Q24" s="13">
        <f>AVERAGE(O24:P24)</f>
        <v>0.78</v>
      </c>
      <c r="R24" s="1">
        <v>0.86</v>
      </c>
      <c r="S24" s="1">
        <v>0.86</v>
      </c>
      <c r="T24" s="20">
        <f>AVERAGE(R24:S24)</f>
        <v>0.86</v>
      </c>
      <c r="U24" s="1">
        <v>0.96</v>
      </c>
      <c r="V24" s="1">
        <v>0.96</v>
      </c>
      <c r="W24" s="16">
        <f>AVERAGE(U24:V24)</f>
        <v>0.96</v>
      </c>
      <c r="X24" s="30">
        <f>AVERAGE(Q24,T24,W24)</f>
        <v>0.8666666666666667</v>
      </c>
      <c r="Y24" s="1"/>
      <c r="Z24" s="5" t="s">
        <v>1</v>
      </c>
      <c r="AA24" s="1">
        <v>56.44</v>
      </c>
      <c r="AB24" s="1">
        <v>56.44</v>
      </c>
      <c r="AC24" s="13">
        <f>AVERAGE(AA24:AB24)</f>
        <v>56.44</v>
      </c>
      <c r="AD24" s="1">
        <v>69.31</v>
      </c>
      <c r="AE24" s="1">
        <v>73.27</v>
      </c>
      <c r="AF24" s="13">
        <f>AVERAGE(AD24:AE24)</f>
        <v>71.289999999999992</v>
      </c>
      <c r="AG24" s="1">
        <v>66.34</v>
      </c>
      <c r="AH24" s="1">
        <v>67.33</v>
      </c>
      <c r="AI24" s="16">
        <f>AVERAGE(AG24:AH24)</f>
        <v>66.835000000000008</v>
      </c>
      <c r="AJ24" s="24">
        <f>AVERAGE(AC24,AF24,AI24)</f>
        <v>64.855000000000004</v>
      </c>
    </row>
    <row r="25" spans="2:36" x14ac:dyDescent="0.45">
      <c r="B25" s="5" t="s">
        <v>2</v>
      </c>
      <c r="C25" s="1">
        <v>0.35</v>
      </c>
      <c r="D25" s="1">
        <v>0.34</v>
      </c>
      <c r="E25" s="13">
        <f t="shared" ref="E25:E28" si="18">AVERAGE(C25:D25)</f>
        <v>0.34499999999999997</v>
      </c>
      <c r="F25" s="1">
        <v>0.31</v>
      </c>
      <c r="G25" s="1">
        <v>0.28000000000000003</v>
      </c>
      <c r="H25" s="13">
        <f t="shared" ref="H25:H28" si="19">AVERAGE(F25:G25)</f>
        <v>0.29500000000000004</v>
      </c>
      <c r="I25" s="1">
        <v>0.13</v>
      </c>
      <c r="J25" s="1">
        <v>0.13</v>
      </c>
      <c r="K25" s="19">
        <f t="shared" ref="K25:K28" si="20">AVERAGE(I25:J25)</f>
        <v>0.13</v>
      </c>
      <c r="L25" s="24">
        <f t="shared" ref="L25:L28" si="21">AVERAGE(E25,H25,K25)</f>
        <v>0.25666666666666665</v>
      </c>
      <c r="M25" s="1"/>
      <c r="N25" s="5" t="s">
        <v>2</v>
      </c>
      <c r="O25" s="1">
        <v>0.61</v>
      </c>
      <c r="P25" s="1">
        <v>0.64</v>
      </c>
      <c r="Q25" s="13">
        <f t="shared" ref="Q25:Q28" si="22">AVERAGE(O25:P25)</f>
        <v>0.625</v>
      </c>
      <c r="R25" s="1">
        <v>0.28999999999999998</v>
      </c>
      <c r="S25" s="1">
        <v>0.37</v>
      </c>
      <c r="T25" s="13">
        <f t="shared" ref="T25:T28" si="23">AVERAGE(R25:S25)</f>
        <v>0.32999999999999996</v>
      </c>
      <c r="U25" s="1">
        <v>0.97</v>
      </c>
      <c r="V25" s="1">
        <v>0.97</v>
      </c>
      <c r="W25" s="16">
        <f t="shared" ref="W25:W28" si="24">AVERAGE(U25:V25)</f>
        <v>0.97</v>
      </c>
      <c r="X25" s="24">
        <f t="shared" ref="X25:X28" si="25">AVERAGE(Q25,T25,W25)</f>
        <v>0.64166666666666661</v>
      </c>
      <c r="Y25" s="1"/>
      <c r="Z25" s="5" t="s">
        <v>2</v>
      </c>
      <c r="AA25" s="1">
        <v>43.56</v>
      </c>
      <c r="AB25" s="1">
        <v>41.58</v>
      </c>
      <c r="AC25" s="13">
        <f t="shared" ref="AC25:AC28" si="26">AVERAGE(AA25:AB25)</f>
        <v>42.57</v>
      </c>
      <c r="AD25" s="1">
        <v>24.75</v>
      </c>
      <c r="AE25" s="1">
        <v>35.64</v>
      </c>
      <c r="AF25" s="13">
        <f t="shared" ref="AF25:AF28" si="27">AVERAGE(AD25:AE25)</f>
        <v>30.195</v>
      </c>
      <c r="AG25" s="1">
        <v>83.17</v>
      </c>
      <c r="AH25" s="1">
        <v>86.14</v>
      </c>
      <c r="AI25" s="19">
        <f t="shared" ref="AI25:AI28" si="28">AVERAGE(AG25:AH25)</f>
        <v>84.655000000000001</v>
      </c>
      <c r="AJ25" s="24">
        <f t="shared" ref="AJ25:AJ28" si="29">AVERAGE(AC25,AF25,AI25)</f>
        <v>52.473333333333336</v>
      </c>
    </row>
    <row r="26" spans="2:36" x14ac:dyDescent="0.45">
      <c r="B26" s="5" t="s">
        <v>3</v>
      </c>
      <c r="C26" s="1">
        <v>0.28000000000000003</v>
      </c>
      <c r="D26" s="1">
        <v>0.27</v>
      </c>
      <c r="E26" s="20">
        <f t="shared" si="18"/>
        <v>0.27500000000000002</v>
      </c>
      <c r="F26" s="1">
        <v>0.16</v>
      </c>
      <c r="G26" s="1">
        <v>0.14000000000000001</v>
      </c>
      <c r="H26" s="13">
        <f t="shared" si="19"/>
        <v>0.15000000000000002</v>
      </c>
      <c r="I26" s="1">
        <v>0.19</v>
      </c>
      <c r="J26" s="1">
        <v>0.2</v>
      </c>
      <c r="K26" s="16">
        <f t="shared" si="20"/>
        <v>0.19500000000000001</v>
      </c>
      <c r="L26" s="31">
        <f t="shared" si="21"/>
        <v>0.20666666666666669</v>
      </c>
      <c r="M26" s="1"/>
      <c r="N26" s="5" t="s">
        <v>3</v>
      </c>
      <c r="O26" s="1">
        <v>0.77</v>
      </c>
      <c r="P26" s="1">
        <v>0.8</v>
      </c>
      <c r="Q26" s="13">
        <f t="shared" si="22"/>
        <v>0.78500000000000003</v>
      </c>
      <c r="R26" s="1">
        <v>0.77</v>
      </c>
      <c r="S26" s="1">
        <v>0.81</v>
      </c>
      <c r="T26" s="13">
        <f t="shared" si="23"/>
        <v>0.79</v>
      </c>
      <c r="U26" s="1">
        <v>0.95</v>
      </c>
      <c r="V26" s="1">
        <v>0.94</v>
      </c>
      <c r="W26" s="16">
        <f t="shared" si="24"/>
        <v>0.94499999999999995</v>
      </c>
      <c r="X26" s="24">
        <f t="shared" si="25"/>
        <v>0.84</v>
      </c>
      <c r="Y26" s="1"/>
      <c r="Z26" s="5" t="s">
        <v>3</v>
      </c>
      <c r="AA26" s="1">
        <v>54.46</v>
      </c>
      <c r="AB26" s="1">
        <v>57.43</v>
      </c>
      <c r="AC26" s="13">
        <f t="shared" si="26"/>
        <v>55.945</v>
      </c>
      <c r="AD26" s="1">
        <v>66.34</v>
      </c>
      <c r="AE26" s="1">
        <v>70.3</v>
      </c>
      <c r="AF26" s="13">
        <f t="shared" si="27"/>
        <v>68.319999999999993</v>
      </c>
      <c r="AG26" s="1">
        <v>71.290000000000006</v>
      </c>
      <c r="AH26" s="1">
        <v>75.25</v>
      </c>
      <c r="AI26" s="16">
        <f t="shared" si="28"/>
        <v>73.27000000000001</v>
      </c>
      <c r="AJ26" s="30">
        <f t="shared" si="29"/>
        <v>65.844999999999999</v>
      </c>
    </row>
    <row r="27" spans="2:36" x14ac:dyDescent="0.45">
      <c r="B27" s="5" t="s">
        <v>4</v>
      </c>
      <c r="C27" s="1">
        <v>0.36</v>
      </c>
      <c r="D27" s="1">
        <v>0.35</v>
      </c>
      <c r="E27" s="13">
        <f t="shared" si="18"/>
        <v>0.35499999999999998</v>
      </c>
      <c r="F27" s="1">
        <v>0.28999999999999998</v>
      </c>
      <c r="G27" s="1">
        <v>0.28000000000000003</v>
      </c>
      <c r="H27" s="13">
        <f t="shared" si="19"/>
        <v>0.28500000000000003</v>
      </c>
      <c r="I27" s="1">
        <v>0.16</v>
      </c>
      <c r="J27" s="1">
        <v>0.24</v>
      </c>
      <c r="K27" s="16">
        <f t="shared" si="20"/>
        <v>0.2</v>
      </c>
      <c r="L27" s="24">
        <f t="shared" si="21"/>
        <v>0.28000000000000003</v>
      </c>
      <c r="M27" s="1"/>
      <c r="N27" s="5" t="s">
        <v>4</v>
      </c>
      <c r="O27" s="1">
        <v>0.39</v>
      </c>
      <c r="P27" s="1">
        <v>0.41</v>
      </c>
      <c r="Q27" s="13">
        <f t="shared" si="22"/>
        <v>0.4</v>
      </c>
      <c r="R27" s="1">
        <v>0.75</v>
      </c>
      <c r="S27" s="1">
        <v>0.61</v>
      </c>
      <c r="T27" s="13">
        <f t="shared" si="23"/>
        <v>0.67999999999999994</v>
      </c>
      <c r="U27" s="1">
        <v>0.96</v>
      </c>
      <c r="V27" s="1">
        <v>0.89</v>
      </c>
      <c r="W27" s="16">
        <f t="shared" si="24"/>
        <v>0.92500000000000004</v>
      </c>
      <c r="X27" s="24">
        <f t="shared" si="25"/>
        <v>0.66833333333333333</v>
      </c>
      <c r="Y27" s="1"/>
      <c r="Z27" s="5" t="s">
        <v>4</v>
      </c>
      <c r="AA27" s="1">
        <v>44.55</v>
      </c>
      <c r="AB27" s="1">
        <v>41.58</v>
      </c>
      <c r="AC27" s="13">
        <f t="shared" si="26"/>
        <v>43.064999999999998</v>
      </c>
      <c r="AD27" s="1">
        <v>42.57</v>
      </c>
      <c r="AE27" s="1">
        <v>38.61</v>
      </c>
      <c r="AF27" s="13">
        <f t="shared" si="27"/>
        <v>40.590000000000003</v>
      </c>
      <c r="AG27" s="1">
        <v>72.28</v>
      </c>
      <c r="AH27" s="1">
        <v>71.290000000000006</v>
      </c>
      <c r="AI27" s="16">
        <f t="shared" si="28"/>
        <v>71.784999999999997</v>
      </c>
      <c r="AJ27" s="24">
        <f t="shared" si="29"/>
        <v>51.813333333333333</v>
      </c>
    </row>
    <row r="28" spans="2:36" x14ac:dyDescent="0.45">
      <c r="B28" s="7" t="s">
        <v>41</v>
      </c>
      <c r="C28" s="8">
        <v>0.21</v>
      </c>
      <c r="D28" s="8">
        <v>0.24</v>
      </c>
      <c r="E28" s="14">
        <f t="shared" si="18"/>
        <v>0.22499999999999998</v>
      </c>
      <c r="F28" s="8">
        <v>0.17</v>
      </c>
      <c r="G28" s="8">
        <v>0.2</v>
      </c>
      <c r="H28" s="14">
        <f t="shared" si="19"/>
        <v>0.185</v>
      </c>
      <c r="I28" s="8">
        <v>0.13</v>
      </c>
      <c r="J28" s="8">
        <v>0.18</v>
      </c>
      <c r="K28" s="17">
        <f t="shared" si="20"/>
        <v>0.155</v>
      </c>
      <c r="L28" s="32">
        <f t="shared" si="21"/>
        <v>0.18833333333333332</v>
      </c>
      <c r="M28" s="1"/>
      <c r="N28" s="7" t="s">
        <v>41</v>
      </c>
      <c r="O28" s="8">
        <v>0.87</v>
      </c>
      <c r="P28" s="8">
        <v>0.84</v>
      </c>
      <c r="Q28" s="36">
        <f t="shared" si="22"/>
        <v>0.85499999999999998</v>
      </c>
      <c r="R28" s="8">
        <v>0.83</v>
      </c>
      <c r="S28" s="8">
        <v>0.73</v>
      </c>
      <c r="T28" s="14">
        <f t="shared" si="23"/>
        <v>0.78</v>
      </c>
      <c r="U28" s="8">
        <v>0.98</v>
      </c>
      <c r="V28" s="8">
        <v>0.97</v>
      </c>
      <c r="W28" s="37">
        <f t="shared" si="24"/>
        <v>0.97499999999999998</v>
      </c>
      <c r="X28" s="32">
        <f t="shared" si="25"/>
        <v>0.87</v>
      </c>
      <c r="Y28" s="1"/>
      <c r="Z28" s="7" t="s">
        <v>41</v>
      </c>
      <c r="AA28" s="8">
        <v>81.19</v>
      </c>
      <c r="AB28" s="8">
        <v>75.25</v>
      </c>
      <c r="AC28" s="36">
        <f t="shared" si="26"/>
        <v>78.22</v>
      </c>
      <c r="AD28" s="8">
        <v>84.16</v>
      </c>
      <c r="AE28" s="8">
        <v>68.319999999999993</v>
      </c>
      <c r="AF28" s="36">
        <f t="shared" si="27"/>
        <v>76.239999999999995</v>
      </c>
      <c r="AG28" s="8">
        <v>71.290000000000006</v>
      </c>
      <c r="AH28" s="8">
        <v>66.34</v>
      </c>
      <c r="AI28" s="17">
        <f t="shared" si="28"/>
        <v>68.814999999999998</v>
      </c>
      <c r="AJ28" s="32">
        <f t="shared" si="29"/>
        <v>74.424999999999997</v>
      </c>
    </row>
    <row r="31" spans="2:36" ht="15.75" x14ac:dyDescent="0.5">
      <c r="N31" s="45" t="s">
        <v>8</v>
      </c>
      <c r="O31" s="46"/>
      <c r="P31" s="46"/>
      <c r="Q31" s="46"/>
      <c r="R31" s="46"/>
      <c r="S31" s="46"/>
      <c r="T31" s="46"/>
      <c r="U31" s="46"/>
      <c r="V31" s="46"/>
      <c r="W31" s="47"/>
    </row>
    <row r="32" spans="2:36" x14ac:dyDescent="0.45">
      <c r="N32" s="42" t="s">
        <v>25</v>
      </c>
      <c r="O32" s="43"/>
      <c r="P32" s="43"/>
      <c r="Q32" s="43"/>
      <c r="R32" s="43"/>
      <c r="S32" s="43"/>
      <c r="T32" s="43"/>
      <c r="U32" s="43"/>
      <c r="V32" s="43"/>
      <c r="W32" s="44"/>
    </row>
    <row r="33" spans="14:24" x14ac:dyDescent="0.45">
      <c r="N33" s="2" t="s">
        <v>0</v>
      </c>
      <c r="O33" s="3" t="s">
        <v>26</v>
      </c>
      <c r="P33" s="3" t="s">
        <v>27</v>
      </c>
      <c r="Q33" s="12" t="s">
        <v>28</v>
      </c>
      <c r="R33" s="3" t="s">
        <v>29</v>
      </c>
      <c r="S33" s="3" t="s">
        <v>30</v>
      </c>
      <c r="T33" s="12" t="s">
        <v>31</v>
      </c>
      <c r="U33" s="3" t="s">
        <v>32</v>
      </c>
      <c r="V33" s="3" t="s">
        <v>33</v>
      </c>
      <c r="W33" s="15" t="s">
        <v>34</v>
      </c>
    </row>
    <row r="34" spans="14:24" x14ac:dyDescent="0.45">
      <c r="N34" s="5" t="s">
        <v>1</v>
      </c>
      <c r="O34" s="1">
        <v>-7.0000000000000007E-2</v>
      </c>
      <c r="P34" s="1">
        <v>-0.03</v>
      </c>
      <c r="Q34" s="13">
        <f>AVERAGE(O34:P34)</f>
        <v>-0.05</v>
      </c>
      <c r="R34" s="1">
        <v>0.62</v>
      </c>
      <c r="S34" s="1">
        <v>0.64</v>
      </c>
      <c r="T34" s="13">
        <f>AVERAGE(R34:S34)</f>
        <v>0.63</v>
      </c>
      <c r="U34" s="1">
        <v>0.75</v>
      </c>
      <c r="V34" s="1">
        <v>0.75</v>
      </c>
      <c r="W34" s="19">
        <f>AVERAGE(U34:V34)</f>
        <v>0.75</v>
      </c>
    </row>
    <row r="35" spans="14:24" x14ac:dyDescent="0.45">
      <c r="N35" s="5" t="s">
        <v>2</v>
      </c>
      <c r="O35" s="1">
        <v>-0.35</v>
      </c>
      <c r="P35" s="1">
        <v>-0.33</v>
      </c>
      <c r="Q35" s="13">
        <f t="shared" ref="Q35:Q38" si="30">AVERAGE(O35:P35)</f>
        <v>-0.33999999999999997</v>
      </c>
      <c r="R35" s="1">
        <v>0.84</v>
      </c>
      <c r="S35" s="1">
        <v>0.84</v>
      </c>
      <c r="T35" s="13">
        <f t="shared" ref="T35:T38" si="31">AVERAGE(R35:S35)</f>
        <v>0.84</v>
      </c>
      <c r="U35" s="1">
        <v>0.19</v>
      </c>
      <c r="V35" s="1">
        <v>0.24</v>
      </c>
      <c r="W35" s="16">
        <f t="shared" ref="W35:W38" si="32">AVERAGE(U35:V35)</f>
        <v>0.215</v>
      </c>
    </row>
    <row r="36" spans="14:24" x14ac:dyDescent="0.45">
      <c r="N36" s="5" t="s">
        <v>3</v>
      </c>
      <c r="O36" s="1">
        <v>0.44</v>
      </c>
      <c r="P36" s="1">
        <v>0.45</v>
      </c>
      <c r="Q36" s="13">
        <f t="shared" si="30"/>
        <v>0.44500000000000001</v>
      </c>
      <c r="R36" s="1">
        <v>0.84</v>
      </c>
      <c r="S36" s="1">
        <v>0.85</v>
      </c>
      <c r="T36" s="20">
        <f t="shared" si="31"/>
        <v>0.84499999999999997</v>
      </c>
      <c r="U36" s="1">
        <v>0.56000000000000005</v>
      </c>
      <c r="V36" s="1">
        <v>0.56999999999999995</v>
      </c>
      <c r="W36" s="16">
        <f t="shared" si="32"/>
        <v>0.56499999999999995</v>
      </c>
    </row>
    <row r="37" spans="14:24" x14ac:dyDescent="0.45">
      <c r="N37" s="5" t="s">
        <v>4</v>
      </c>
      <c r="O37" s="1">
        <v>0.52</v>
      </c>
      <c r="P37" s="1">
        <v>0.4</v>
      </c>
      <c r="Q37" s="20">
        <f t="shared" si="30"/>
        <v>0.46</v>
      </c>
      <c r="R37" s="1">
        <v>0.83</v>
      </c>
      <c r="S37" s="1">
        <v>0.17</v>
      </c>
      <c r="T37" s="13">
        <f t="shared" si="31"/>
        <v>0.5</v>
      </c>
      <c r="U37" s="1">
        <v>0.12</v>
      </c>
      <c r="V37" s="1">
        <v>0.23</v>
      </c>
      <c r="W37" s="16">
        <f t="shared" si="32"/>
        <v>0.17499999999999999</v>
      </c>
    </row>
    <row r="38" spans="14:24" x14ac:dyDescent="0.45">
      <c r="N38" s="7" t="s">
        <v>41</v>
      </c>
      <c r="O38" s="8">
        <v>0.81</v>
      </c>
      <c r="P38" s="8">
        <v>0.5</v>
      </c>
      <c r="Q38" s="14">
        <f t="shared" si="30"/>
        <v>0.65500000000000003</v>
      </c>
      <c r="R38" s="8">
        <v>0.76</v>
      </c>
      <c r="S38" s="8">
        <v>0.51</v>
      </c>
      <c r="T38" s="14">
        <f t="shared" si="31"/>
        <v>0.63500000000000001</v>
      </c>
      <c r="U38" s="8">
        <v>0.1</v>
      </c>
      <c r="V38" s="8">
        <v>0.3</v>
      </c>
      <c r="W38" s="17">
        <f t="shared" si="32"/>
        <v>0.2</v>
      </c>
    </row>
    <row r="39" spans="14:24" x14ac:dyDescent="0.45">
      <c r="N39" s="10" t="s">
        <v>0</v>
      </c>
      <c r="O39" s="11" t="s">
        <v>35</v>
      </c>
      <c r="P39" s="11" t="s">
        <v>36</v>
      </c>
      <c r="Q39" s="18" t="s">
        <v>37</v>
      </c>
      <c r="R39" s="11" t="s">
        <v>38</v>
      </c>
      <c r="S39" s="11" t="s">
        <v>39</v>
      </c>
      <c r="T39" s="18" t="s">
        <v>40</v>
      </c>
      <c r="U39" s="11" t="s">
        <v>45</v>
      </c>
      <c r="V39" s="11" t="s">
        <v>46</v>
      </c>
      <c r="W39" s="38" t="s">
        <v>47</v>
      </c>
      <c r="X39" s="28" t="s">
        <v>42</v>
      </c>
    </row>
    <row r="40" spans="14:24" x14ac:dyDescent="0.45">
      <c r="N40" s="5" t="s">
        <v>1</v>
      </c>
      <c r="O40" s="1">
        <v>0.36</v>
      </c>
      <c r="P40" s="1">
        <v>0.45</v>
      </c>
      <c r="Q40" s="13">
        <f>AVERAGE(O40:P40)</f>
        <v>0.40500000000000003</v>
      </c>
      <c r="R40" s="1">
        <v>-0.28999999999999998</v>
      </c>
      <c r="S40" s="1">
        <v>-0.34</v>
      </c>
      <c r="T40" s="13">
        <f>AVERAGE(R40:S40)</f>
        <v>-0.315</v>
      </c>
      <c r="U40" s="1">
        <v>0</v>
      </c>
      <c r="V40" s="1">
        <v>0</v>
      </c>
      <c r="W40" s="13">
        <f>AVERAGE(U40:V40)</f>
        <v>0</v>
      </c>
      <c r="X40" s="29">
        <f>AVERAGE(Q40,T40,Q34,T34,W34,W40)</f>
        <v>0.23666666666666666</v>
      </c>
    </row>
    <row r="41" spans="14:24" x14ac:dyDescent="0.45">
      <c r="N41" s="5" t="s">
        <v>2</v>
      </c>
      <c r="O41" s="1">
        <v>0.61</v>
      </c>
      <c r="P41" s="1">
        <v>0.7</v>
      </c>
      <c r="Q41" s="13">
        <f t="shared" ref="Q41:Q44" si="33">AVERAGE(O41:P41)</f>
        <v>0.65500000000000003</v>
      </c>
      <c r="R41" s="1">
        <v>-0.22</v>
      </c>
      <c r="S41" s="1">
        <v>-0.21</v>
      </c>
      <c r="T41" s="13">
        <f t="shared" ref="T41:T44" si="34">AVERAGE(R41:S41)</f>
        <v>-0.215</v>
      </c>
      <c r="U41" s="1">
        <v>-0.57999999999999996</v>
      </c>
      <c r="V41" s="1">
        <v>-0.56999999999999995</v>
      </c>
      <c r="W41" s="13">
        <f t="shared" ref="W41:W44" si="35">AVERAGE(U41:V41)</f>
        <v>-0.57499999999999996</v>
      </c>
      <c r="X41" s="24">
        <f t="shared" ref="X41:X44" si="36">AVERAGE(Q41,T41,Q35,T35,W35,W41)</f>
        <v>9.6666666666666679E-2</v>
      </c>
    </row>
    <row r="42" spans="14:24" x14ac:dyDescent="0.45">
      <c r="N42" s="5" t="s">
        <v>3</v>
      </c>
      <c r="O42" s="1">
        <v>0.64</v>
      </c>
      <c r="P42" s="1">
        <v>0.71</v>
      </c>
      <c r="Q42" s="20">
        <f t="shared" si="33"/>
        <v>0.67500000000000004</v>
      </c>
      <c r="R42" s="1">
        <v>-0.18</v>
      </c>
      <c r="S42" s="1">
        <v>-0.18</v>
      </c>
      <c r="T42" s="20">
        <f t="shared" si="34"/>
        <v>-0.18</v>
      </c>
      <c r="U42" s="1">
        <v>-0.41</v>
      </c>
      <c r="V42" s="1">
        <v>-0.41</v>
      </c>
      <c r="W42" s="13">
        <f t="shared" si="35"/>
        <v>-0.41</v>
      </c>
      <c r="X42" s="30">
        <f t="shared" si="36"/>
        <v>0.32333333333333336</v>
      </c>
    </row>
    <row r="43" spans="14:24" x14ac:dyDescent="0.45">
      <c r="N43" s="5" t="s">
        <v>4</v>
      </c>
      <c r="O43" s="1">
        <v>0.28999999999999998</v>
      </c>
      <c r="P43" s="1">
        <v>0.56000000000000005</v>
      </c>
      <c r="Q43" s="13">
        <f t="shared" si="33"/>
        <v>0.42500000000000004</v>
      </c>
      <c r="R43" s="1">
        <v>-7.0000000000000007E-2</v>
      </c>
      <c r="S43" s="1">
        <v>0</v>
      </c>
      <c r="T43" s="13">
        <f t="shared" si="34"/>
        <v>-3.5000000000000003E-2</v>
      </c>
      <c r="U43" s="1">
        <v>-0.56999999999999995</v>
      </c>
      <c r="V43" s="1">
        <v>0.12</v>
      </c>
      <c r="W43" s="13">
        <f t="shared" si="35"/>
        <v>-0.22499999999999998</v>
      </c>
      <c r="X43" s="24">
        <f t="shared" si="36"/>
        <v>0.2166666666666667</v>
      </c>
    </row>
    <row r="44" spans="14:24" x14ac:dyDescent="0.45">
      <c r="N44" s="7" t="s">
        <v>41</v>
      </c>
      <c r="O44" s="8">
        <v>0.86</v>
      </c>
      <c r="P44" s="8">
        <v>0.93</v>
      </c>
      <c r="Q44" s="14">
        <f t="shared" si="33"/>
        <v>0.89500000000000002</v>
      </c>
      <c r="R44" s="8">
        <v>-0.28000000000000003</v>
      </c>
      <c r="S44" s="8">
        <v>0.55000000000000004</v>
      </c>
      <c r="T44" s="14">
        <f t="shared" si="34"/>
        <v>0.13500000000000001</v>
      </c>
      <c r="U44" s="8">
        <v>-0.38</v>
      </c>
      <c r="V44" s="8">
        <v>0.82</v>
      </c>
      <c r="W44" s="36">
        <f t="shared" si="35"/>
        <v>0.21999999999999997</v>
      </c>
      <c r="X44" s="32">
        <f t="shared" si="36"/>
        <v>0.45666666666666672</v>
      </c>
    </row>
  </sheetData>
  <mergeCells count="17">
    <mergeCell ref="B2:L2"/>
    <mergeCell ref="B3:L3"/>
    <mergeCell ref="B12:L12"/>
    <mergeCell ref="B22:L22"/>
    <mergeCell ref="B21:L21"/>
    <mergeCell ref="Z21:AJ21"/>
    <mergeCell ref="N32:W32"/>
    <mergeCell ref="N31:W31"/>
    <mergeCell ref="N3:X3"/>
    <mergeCell ref="N2:X2"/>
    <mergeCell ref="N12:X12"/>
    <mergeCell ref="N22:X22"/>
    <mergeCell ref="N21:X21"/>
    <mergeCell ref="Z3:AJ3"/>
    <mergeCell ref="Z2:AJ2"/>
    <mergeCell ref="Z12:AJ12"/>
    <mergeCell ref="Z22:AJ2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overview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Menthy Denayer</dc:creator>
  <cp:lastModifiedBy>Menthy Denayer</cp:lastModifiedBy>
  <dcterms:created xsi:type="dcterms:W3CDTF">2015-06-05T18:19:34Z</dcterms:created>
  <dcterms:modified xsi:type="dcterms:W3CDTF">2026-06-07T18:24:13Z</dcterms:modified>
</cp:coreProperties>
</file>